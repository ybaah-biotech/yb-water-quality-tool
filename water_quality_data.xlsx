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 Thresholds" sheetId="1" state="visible" r:id="rId1"/>
    <sheet xmlns:r="http://schemas.openxmlformats.org/officeDocument/2006/relationships" name="Scoring Model &amp; Scenarios" sheetId="2" state="visible" r:id="rId2"/>
    <sheet xmlns:r="http://schemas.openxmlformats.org/officeDocument/2006/relationships" name="Eutrophication Risk 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1E293B"/>
      <sz val="10"/>
    </font>
    <font>
      <name val="Arial"/>
      <color rgb="001E293B"/>
      <sz val="10"/>
    </font>
    <font>
      <name val="Arial"/>
      <color rgb="0015803D"/>
      <sz val="10"/>
    </font>
    <font>
      <name val="Arial"/>
      <color rgb="0092400E"/>
      <sz val="10"/>
    </font>
    <font>
      <name val="Arial"/>
      <color rgb="00991B1B"/>
      <sz val="10"/>
    </font>
    <font>
      <name val="Arial"/>
      <color rgb="000000FF"/>
      <sz val="10"/>
    </font>
    <font>
      <name val="Arial"/>
      <b val="1"/>
      <color rgb="0015803D"/>
      <sz val="10"/>
    </font>
    <font>
      <name val="Arial"/>
      <b val="1"/>
      <color rgb="0092400E"/>
      <sz val="10"/>
    </font>
    <font>
      <name val="Arial"/>
      <b val="1"/>
      <color rgb="00991B1B"/>
      <sz val="10"/>
    </font>
    <font>
      <name val="Arial"/>
      <color rgb="00FFFFFF"/>
      <sz val="10"/>
    </font>
    <font>
      <name val="Arial"/>
      <i val="1"/>
      <color rgb="00475569"/>
      <sz val="10"/>
    </font>
    <font>
      <name val="Arial"/>
      <b val="1"/>
      <color rgb="00FFFFFF"/>
      <sz val="11"/>
    </font>
    <font>
      <name val="Arial"/>
      <b val="1"/>
      <color rgb="0016A34A"/>
      <sz val="10"/>
    </font>
    <font>
      <name val="Arial"/>
      <b val="1"/>
      <color rgb="0016A34A"/>
      <sz val="11"/>
    </font>
    <font>
      <name val="Arial"/>
      <b val="1"/>
      <color rgb="0065A30D"/>
      <sz val="10"/>
    </font>
    <font>
      <name val="Arial"/>
      <b val="1"/>
      <color rgb="0065A30D"/>
      <sz val="11"/>
    </font>
    <font>
      <name val="Arial"/>
      <b val="1"/>
      <color rgb="0092400E"/>
      <sz val="11"/>
    </font>
    <font>
      <name val="Arial"/>
      <b val="1"/>
      <color rgb="00991B1B"/>
      <sz val="11"/>
    </font>
    <font>
      <name val="Arial"/>
      <color rgb="00166534"/>
      <sz val="10"/>
    </font>
    <font>
      <name val="Arial"/>
      <b val="1"/>
      <color rgb="0015803D"/>
      <sz val="12"/>
    </font>
    <font>
      <name val="Arial"/>
      <b val="1"/>
      <color rgb="0092400E"/>
      <sz val="12"/>
    </font>
    <font>
      <name val="Arial"/>
      <b val="1"/>
      <color rgb="00991B1B"/>
      <sz val="12"/>
    </font>
    <font>
      <name val="Arial"/>
      <b val="1"/>
      <color rgb="0015803D"/>
      <sz val="11"/>
    </font>
    <font>
      <name val="Arial"/>
      <i val="1"/>
      <color rgb="00475569"/>
      <sz val="9"/>
    </font>
  </fonts>
  <fills count="1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C4A6E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F1F5F9"/>
      </patternFill>
    </fill>
    <fill>
      <patternFill patternType="solid">
        <fgColor rgb="00F8FAFC"/>
      </patternFill>
    </fill>
    <fill>
      <patternFill patternType="solid">
        <fgColor rgb="00F0FDF4"/>
      </patternFill>
    </fill>
    <fill>
      <patternFill patternType="solid">
        <fgColor rgb="00166534"/>
      </patternFill>
    </fill>
    <fill>
      <patternFill patternType="solid">
        <fgColor rgb="0092400E"/>
      </patternFill>
    </fill>
    <fill>
      <patternFill patternType="solid">
        <fgColor rgb="00991B1B"/>
      </patternFill>
    </fill>
    <fill>
      <patternFill patternType="solid">
        <fgColor rgb="00FEFCE8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3" fillId="9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center" vertical="center" wrapText="1"/>
    </xf>
    <xf numFmtId="0" fontId="24" fillId="7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center" vertical="center" wrapText="1"/>
    </xf>
    <xf numFmtId="0" fontId="13" fillId="9" borderId="0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26" fillId="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8" customWidth="1" min="3" max="3"/>
    <col width="22" customWidth="1" min="4" max="4"/>
    <col width="22" customWidth="1" min="5" max="5"/>
    <col width="52" customWidth="1" min="6" max="6"/>
  </cols>
  <sheetData>
    <row r="1" ht="36" customHeight="1">
      <c r="A1" s="1" t="inlineStr">
        <is>
          <t>Water Quality Parameter Thresholds &amp; Classifications</t>
        </is>
      </c>
    </row>
    <row r="2" ht="28" customHeight="1">
      <c r="A2" s="2" t="inlineStr">
        <is>
          <t>Parameter</t>
        </is>
      </c>
      <c r="B2" s="2" t="inlineStr">
        <is>
          <t>Unit</t>
        </is>
      </c>
      <c r="C2" s="2" t="inlineStr">
        <is>
          <t>Good ✓</t>
        </is>
      </c>
      <c r="D2" s="2" t="inlineStr">
        <is>
          <t>Moderate ⚠</t>
        </is>
      </c>
      <c r="E2" s="2" t="inlineStr">
        <is>
          <t>Poor ✗</t>
        </is>
      </c>
      <c r="F2" s="2" t="inlineStr">
        <is>
          <t>Key Sources</t>
        </is>
      </c>
    </row>
    <row r="3" ht="22" customHeight="1">
      <c r="A3" s="3" t="inlineStr">
        <is>
          <t>Dissolved Oxygen (DO)</t>
        </is>
      </c>
      <c r="B3" s="4" t="inlineStr">
        <is>
          <t>mg/L</t>
        </is>
      </c>
      <c r="C3" s="5" t="inlineStr">
        <is>
          <t>&gt;7 mg/L</t>
        </is>
      </c>
      <c r="D3" s="6" t="inlineStr">
        <is>
          <t>5–7 mg/L</t>
        </is>
      </c>
      <c r="E3" s="7" t="inlineStr">
        <is>
          <t>&lt;5 mg/L</t>
        </is>
      </c>
      <c r="F3" s="8" t="inlineStr">
        <is>
          <t>Boyd (2019); US EPA; Yohana et al. (2024)</t>
        </is>
      </c>
    </row>
    <row r="4" ht="22" customHeight="1">
      <c r="A4" s="9" t="inlineStr">
        <is>
          <t>Phosphate (PO₄³⁻)</t>
        </is>
      </c>
      <c r="B4" s="10" t="inlineStr">
        <is>
          <t>mg/L</t>
        </is>
      </c>
      <c r="C4" s="5" t="inlineStr">
        <is>
          <t>&lt;0.03 mg/L</t>
        </is>
      </c>
      <c r="D4" s="6" t="inlineStr">
        <is>
          <t>0.03–0.1 mg/L</t>
        </is>
      </c>
      <c r="E4" s="7" t="inlineStr">
        <is>
          <t>&gt;0.1 mg/L</t>
        </is>
      </c>
      <c r="F4" s="11" t="inlineStr">
        <is>
          <t>Elser et al. (2022); Lürling &amp; Mucci (2020); Environment Agency</t>
        </is>
      </c>
    </row>
    <row r="5" ht="22" customHeight="1">
      <c r="A5" s="3" t="inlineStr">
        <is>
          <t>Nitrate (NO₃⁻)</t>
        </is>
      </c>
      <c r="B5" s="4" t="inlineStr">
        <is>
          <t>mg/L</t>
        </is>
      </c>
      <c r="C5" s="5" t="inlineStr">
        <is>
          <t>&lt;10 mg/L</t>
        </is>
      </c>
      <c r="D5" s="6" t="inlineStr">
        <is>
          <t>10–20 mg/L</t>
        </is>
      </c>
      <c r="E5" s="7" t="inlineStr">
        <is>
          <t>&gt;20 mg/L</t>
        </is>
      </c>
      <c r="F5" s="8" t="inlineStr">
        <is>
          <t>Isaza et al. (2021); Hargreaves (1998); US EPA</t>
        </is>
      </c>
    </row>
    <row r="6" ht="22" customHeight="1">
      <c r="A6" s="9" t="inlineStr">
        <is>
          <t>Chlorophyll A</t>
        </is>
      </c>
      <c r="B6" s="10" t="inlineStr">
        <is>
          <t>µg/L</t>
        </is>
      </c>
      <c r="C6" s="5" t="inlineStr">
        <is>
          <t>2–6 µg/L</t>
        </is>
      </c>
      <c r="D6" s="6" t="inlineStr">
        <is>
          <t>6–40 µg/L</t>
        </is>
      </c>
      <c r="E6" s="7" t="inlineStr">
        <is>
          <t>&gt;40 µg/L</t>
        </is>
      </c>
      <c r="F6" s="11" t="inlineStr">
        <is>
          <t>Carlson (1977) TSI; Aizaki et al. (1981)</t>
        </is>
      </c>
    </row>
    <row r="7" ht="22" customHeight="1">
      <c r="A7" s="3" t="inlineStr">
        <is>
          <t>Ammonia (NH₃ / NH₄⁺)</t>
        </is>
      </c>
      <c r="B7" s="4" t="inlineStr">
        <is>
          <t>mg/L</t>
        </is>
      </c>
      <c r="C7" s="5" t="inlineStr">
        <is>
          <t>&lt;0.5 mg/L</t>
        </is>
      </c>
      <c r="D7" s="6" t="inlineStr">
        <is>
          <t>0.5–1 mg/L</t>
        </is>
      </c>
      <c r="E7" s="7" t="inlineStr">
        <is>
          <t>&gt;1 mg/L</t>
        </is>
      </c>
      <c r="F7" s="8" t="inlineStr">
        <is>
          <t>MSc experimental data; US EPA</t>
        </is>
      </c>
    </row>
    <row r="8" ht="22" customHeight="1">
      <c r="A8" s="9" t="inlineStr">
        <is>
          <t>Total Nitrogen (TN)</t>
        </is>
      </c>
      <c r="B8" s="10" t="inlineStr">
        <is>
          <t>mg/L</t>
        </is>
      </c>
      <c r="C8" s="5" t="inlineStr">
        <is>
          <t>&lt;0.5 mg/L</t>
        </is>
      </c>
      <c r="D8" s="6" t="inlineStr">
        <is>
          <t>0.5–1.5 mg/L</t>
        </is>
      </c>
      <c r="E8" s="7" t="inlineStr">
        <is>
          <t>&gt;1.5 mg/L</t>
        </is>
      </c>
      <c r="F8" s="11" t="inlineStr">
        <is>
          <t>Elser et al. (2022); Singh &amp; Yadav (2024); US EPA</t>
        </is>
      </c>
    </row>
    <row r="9" ht="22" customHeight="1">
      <c r="A9" s="3" t="inlineStr">
        <is>
          <t>pH</t>
        </is>
      </c>
      <c r="B9" s="4" t="inlineStr">
        <is>
          <t>—</t>
        </is>
      </c>
      <c r="C9" s="5" t="inlineStr">
        <is>
          <t>6.5–9</t>
        </is>
      </c>
      <c r="D9" s="6" t="inlineStr">
        <is>
          <t>5–6.5 or 9–10</t>
        </is>
      </c>
      <c r="E9" s="7" t="inlineStr">
        <is>
          <t>&lt;5 or &gt;10</t>
        </is>
      </c>
      <c r="F9" s="8" t="inlineStr">
        <is>
          <t>Khan et al. (2017); Boyd et al. (2011); WHO</t>
        </is>
      </c>
    </row>
    <row r="10" ht="22" customHeight="1">
      <c r="A10" s="9" t="inlineStr">
        <is>
          <t>Temperature</t>
        </is>
      </c>
      <c r="B10" s="10" t="inlineStr">
        <is>
          <t>°C</t>
        </is>
      </c>
      <c r="C10" s="5" t="inlineStr">
        <is>
          <t>15–25 °C</t>
        </is>
      </c>
      <c r="D10" s="6" t="inlineStr">
        <is>
          <t>25–30 °C</t>
        </is>
      </c>
      <c r="E10" s="7" t="inlineStr">
        <is>
          <t>&gt;30 °C or &lt;10 °C</t>
        </is>
      </c>
      <c r="F10" s="11" t="inlineStr">
        <is>
          <t>Dinesh et al. (2017); Sriyasak et al. (2013)</t>
        </is>
      </c>
    </row>
    <row r="11" ht="22" customHeight="1">
      <c r="A11" s="3" t="inlineStr">
        <is>
          <t>Electrical Conductivity (EC)</t>
        </is>
      </c>
      <c r="B11" s="4" t="inlineStr">
        <is>
          <t>µS/cm</t>
        </is>
      </c>
      <c r="C11" s="5" t="inlineStr">
        <is>
          <t>&lt;200 µS/cm</t>
        </is>
      </c>
      <c r="D11" s="6" t="inlineStr">
        <is>
          <t>200–500 µS/cm</t>
        </is>
      </c>
      <c r="E11" s="7" t="inlineStr">
        <is>
          <t>&gt;500 µS/cm</t>
        </is>
      </c>
      <c r="F11" s="8" t="inlineStr">
        <is>
          <t>Uçak &amp; Bağdatli (2021); Tyler et al. (2017)</t>
        </is>
      </c>
    </row>
    <row r="12" ht="22" customHeight="1">
      <c r="A12" s="9" t="inlineStr">
        <is>
          <t>Total Dissolved Solids (TDS)</t>
        </is>
      </c>
      <c r="B12" s="10" t="inlineStr">
        <is>
          <t>mg/L</t>
        </is>
      </c>
      <c r="C12" s="5" t="inlineStr">
        <is>
          <t>&lt;300 mg/L</t>
        </is>
      </c>
      <c r="D12" s="6" t="inlineStr">
        <is>
          <t>300–600 mg/L</t>
        </is>
      </c>
      <c r="E12" s="7" t="inlineStr">
        <is>
          <t>&gt;600 mg/L</t>
        </is>
      </c>
      <c r="F12" s="11" t="inlineStr">
        <is>
          <t>Boyd (2018); Islam et al. (2016)</t>
        </is>
      </c>
    </row>
    <row r="13" ht="22" customHeight="1">
      <c r="A13" s="3" t="inlineStr">
        <is>
          <t>Salinity (PSU)</t>
        </is>
      </c>
      <c r="B13" s="4" t="inlineStr">
        <is>
          <t>ppt</t>
        </is>
      </c>
      <c r="C13" s="5" t="inlineStr">
        <is>
          <t>&lt;0.5 ppt</t>
        </is>
      </c>
      <c r="D13" s="6" t="inlineStr">
        <is>
          <t>0.5–1 ppt</t>
        </is>
      </c>
      <c r="E13" s="7" t="inlineStr">
        <is>
          <t>&gt;1 ppt</t>
        </is>
      </c>
      <c r="F13" s="8" t="inlineStr">
        <is>
          <t>McNevin et al. (2007); Jansen et al. (2009)</t>
        </is>
      </c>
    </row>
    <row r="14" ht="22" customHeight="1">
      <c r="A14" s="9" t="inlineStr">
        <is>
          <t>ORP</t>
        </is>
      </c>
      <c r="B14" s="10" t="inlineStr">
        <is>
          <t>mV</t>
        </is>
      </c>
      <c r="C14" s="5" t="inlineStr">
        <is>
          <t>100–300 mV</t>
        </is>
      </c>
      <c r="D14" s="6" t="inlineStr">
        <is>
          <t>0–100 mV</t>
        </is>
      </c>
      <c r="E14" s="7" t="inlineStr">
        <is>
          <t>&lt;0 mV</t>
        </is>
      </c>
      <c r="F14" s="11" t="inlineStr">
        <is>
          <t>Kim et al. (2024); Boyd (1995); Wen (2017)</t>
        </is>
      </c>
    </row>
    <row r="15" ht="22" customHeight="1">
      <c r="A15" s="3" t="inlineStr">
        <is>
          <t>Pressure</t>
        </is>
      </c>
      <c r="B15" s="4" t="inlineStr">
        <is>
          <t>PSI</t>
        </is>
      </c>
      <c r="C15" s="5" t="inlineStr">
        <is>
          <t>N/A</t>
        </is>
      </c>
      <c r="D15" s="6" t="inlineStr">
        <is>
          <t>N/A</t>
        </is>
      </c>
      <c r="E15" s="7" t="inlineStr">
        <is>
          <t>N/A</t>
        </is>
      </c>
      <c r="F15" s="8" t="inlineStr">
        <is>
          <t>Instrument reference only — not used in scoring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8" customWidth="1" min="3" max="3"/>
    <col width="18" customWidth="1" min="4" max="4"/>
    <col width="18" customWidth="1" min="5" max="5"/>
  </cols>
  <sheetData>
    <row r="1" ht="36" customHeight="1">
      <c r="A1" s="1" t="inlineStr">
        <is>
          <t>Weighted Scoring Model</t>
        </is>
      </c>
    </row>
    <row r="2" ht="28" customHeight="1">
      <c r="A2" s="2" t="inlineStr">
        <is>
          <t>Parameter</t>
        </is>
      </c>
      <c r="B2" s="2" t="inlineStr">
        <is>
          <t>Weight</t>
        </is>
      </c>
      <c r="C2" s="2" t="inlineStr">
        <is>
          <t>Good Score</t>
        </is>
      </c>
      <c r="D2" s="2" t="inlineStr">
        <is>
          <t>Moderate Score</t>
        </is>
      </c>
      <c r="E2" s="2" t="inlineStr">
        <is>
          <t>Poor Score</t>
        </is>
      </c>
    </row>
    <row r="3" ht="22" customHeight="1">
      <c r="A3" s="3" t="inlineStr">
        <is>
          <t>Dissolved Oxygen (DO)</t>
        </is>
      </c>
      <c r="B3" s="12" t="n">
        <v>0.2</v>
      </c>
      <c r="C3" s="13" t="n">
        <v>100</v>
      </c>
      <c r="D3" s="14" t="n">
        <v>60</v>
      </c>
      <c r="E3" s="15" t="n">
        <v>20</v>
      </c>
    </row>
    <row r="4" ht="22" customHeight="1">
      <c r="A4" s="9" t="inlineStr">
        <is>
          <t>Phosphate (PO₄³⁻)</t>
        </is>
      </c>
      <c r="B4" s="16" t="n">
        <v>0.2</v>
      </c>
      <c r="C4" s="13" t="n">
        <v>100</v>
      </c>
      <c r="D4" s="14" t="n">
        <v>60</v>
      </c>
      <c r="E4" s="15" t="n">
        <v>20</v>
      </c>
    </row>
    <row r="5" ht="22" customHeight="1">
      <c r="A5" s="3" t="inlineStr">
        <is>
          <t>Nitrate (NO₃⁻)</t>
        </is>
      </c>
      <c r="B5" s="12" t="n">
        <v>0.15</v>
      </c>
      <c r="C5" s="13" t="n">
        <v>100</v>
      </c>
      <c r="D5" s="14" t="n">
        <v>60</v>
      </c>
      <c r="E5" s="15" t="n">
        <v>20</v>
      </c>
    </row>
    <row r="6" ht="22" customHeight="1">
      <c r="A6" s="9" t="inlineStr">
        <is>
          <t>Chlorophyll A</t>
        </is>
      </c>
      <c r="B6" s="16" t="n">
        <v>0.15</v>
      </c>
      <c r="C6" s="13" t="n">
        <v>100</v>
      </c>
      <c r="D6" s="14" t="n">
        <v>60</v>
      </c>
      <c r="E6" s="15" t="n">
        <v>20</v>
      </c>
    </row>
    <row r="7" ht="22" customHeight="1">
      <c r="A7" s="3" t="inlineStr">
        <is>
          <t>Ammonia (NH₃)</t>
        </is>
      </c>
      <c r="B7" s="12" t="n">
        <v>0.1</v>
      </c>
      <c r="C7" s="13" t="n">
        <v>100</v>
      </c>
      <c r="D7" s="14" t="n">
        <v>60</v>
      </c>
      <c r="E7" s="15" t="n">
        <v>20</v>
      </c>
    </row>
    <row r="8" ht="22" customHeight="1">
      <c r="A8" s="9" t="inlineStr">
        <is>
          <t>Total Nitrogen (TN)</t>
        </is>
      </c>
      <c r="B8" s="16" t="n">
        <v>0.1</v>
      </c>
      <c r="C8" s="13" t="n">
        <v>100</v>
      </c>
      <c r="D8" s="14" t="n">
        <v>60</v>
      </c>
      <c r="E8" s="15" t="n">
        <v>20</v>
      </c>
    </row>
    <row r="9" ht="22" customHeight="1">
      <c r="A9" s="3" t="inlineStr">
        <is>
          <t>pH</t>
        </is>
      </c>
      <c r="B9" s="12" t="n">
        <v>0.05</v>
      </c>
      <c r="C9" s="13" t="n">
        <v>100</v>
      </c>
      <c r="D9" s="14" t="n">
        <v>60</v>
      </c>
      <c r="E9" s="15" t="n">
        <v>20</v>
      </c>
    </row>
    <row r="10" ht="22" customHeight="1">
      <c r="A10" s="9" t="inlineStr">
        <is>
          <t>Temperature</t>
        </is>
      </c>
      <c r="B10" s="16" t="n">
        <v>0.025</v>
      </c>
      <c r="C10" s="13" t="n">
        <v>100</v>
      </c>
      <c r="D10" s="14" t="n">
        <v>60</v>
      </c>
      <c r="E10" s="15" t="n">
        <v>20</v>
      </c>
    </row>
    <row r="11" ht="22" customHeight="1">
      <c r="A11" s="3" t="inlineStr">
        <is>
          <t>Electrical Conductivity (EC)</t>
        </is>
      </c>
      <c r="B11" s="12" t="n">
        <v>0.025</v>
      </c>
      <c r="C11" s="13" t="n">
        <v>100</v>
      </c>
      <c r="D11" s="14" t="n">
        <v>60</v>
      </c>
      <c r="E11" s="15" t="n">
        <v>20</v>
      </c>
    </row>
    <row r="12" ht="22" customHeight="1">
      <c r="A12" s="9" t="inlineStr">
        <is>
          <t>Total Dissolved Solids (TDS)</t>
        </is>
      </c>
      <c r="B12" s="16" t="n">
        <v>0.025</v>
      </c>
      <c r="C12" s="13" t="n">
        <v>100</v>
      </c>
      <c r="D12" s="14" t="n">
        <v>60</v>
      </c>
      <c r="E12" s="15" t="n">
        <v>20</v>
      </c>
    </row>
    <row r="13" ht="22" customHeight="1">
      <c r="A13" s="3" t="inlineStr">
        <is>
          <t>Salinity (PSU)</t>
        </is>
      </c>
      <c r="B13" s="12" t="n">
        <v>0.025</v>
      </c>
      <c r="C13" s="13" t="n">
        <v>100</v>
      </c>
      <c r="D13" s="14" t="n">
        <v>60</v>
      </c>
      <c r="E13" s="15" t="n">
        <v>20</v>
      </c>
    </row>
    <row r="14" ht="22" customHeight="1">
      <c r="A14" s="9" t="inlineStr">
        <is>
          <t>ORP</t>
        </is>
      </c>
      <c r="B14" s="16" t="n">
        <v>0.025</v>
      </c>
      <c r="C14" s="13" t="n">
        <v>100</v>
      </c>
      <c r="D14" s="14" t="n">
        <v>60</v>
      </c>
      <c r="E14" s="15" t="n">
        <v>20</v>
      </c>
    </row>
    <row r="15" ht="22" customHeight="1">
      <c r="A15" s="17" t="inlineStr">
        <is>
          <t>Total Weight</t>
        </is>
      </c>
      <c r="B15" s="17">
        <f>SUM(B3:B14)</f>
        <v/>
      </c>
      <c r="C15" s="18" t="inlineStr">
        <is>
          <t>—</t>
        </is>
      </c>
      <c r="D15" s="18" t="inlineStr">
        <is>
          <t>—</t>
        </is>
      </c>
      <c r="E15" s="18" t="inlineStr">
        <is>
          <t>—</t>
        </is>
      </c>
    </row>
    <row r="16" ht="20" customHeight="1">
      <c r="A16" s="19" t="inlineStr">
        <is>
          <t>WQS = Σ (Parameter Score × Weight)   |   Normalised to 0–100</t>
        </is>
      </c>
    </row>
    <row r="18" ht="28" customHeight="1">
      <c r="A18" s="20" t="inlineStr">
        <is>
          <t>Water Quality Classification</t>
        </is>
      </c>
    </row>
    <row r="19" ht="22" customHeight="1">
      <c r="A19" s="21" t="inlineStr">
        <is>
          <t>80 – 100</t>
        </is>
      </c>
      <c r="B19" s="22" t="inlineStr">
        <is>
          <t>Excellent</t>
        </is>
      </c>
    </row>
    <row r="20" ht="22" customHeight="1">
      <c r="A20" s="23" t="inlineStr">
        <is>
          <t>60 – 80</t>
        </is>
      </c>
      <c r="B20" s="24" t="inlineStr">
        <is>
          <t>Good</t>
        </is>
      </c>
    </row>
    <row r="21" ht="22" customHeight="1">
      <c r="A21" s="14" t="inlineStr">
        <is>
          <t>40 – 60</t>
        </is>
      </c>
      <c r="B21" s="25" t="inlineStr">
        <is>
          <t>Moderate</t>
        </is>
      </c>
    </row>
    <row r="22" ht="22" customHeight="1">
      <c r="A22" s="15" t="inlineStr">
        <is>
          <t>&lt; 40</t>
        </is>
      </c>
      <c r="B22" s="26" t="inlineStr">
        <is>
          <t>Poor</t>
        </is>
      </c>
    </row>
    <row r="25" ht="36" customHeight="1">
      <c r="A25" s="1" t="inlineStr">
        <is>
          <t>Example Scenarios — Pre-calculated WQS</t>
        </is>
      </c>
    </row>
    <row r="26" ht="28" customHeight="1">
      <c r="A26" s="27" t="inlineStr">
        <is>
          <t>Parameter</t>
        </is>
      </c>
      <c r="B26" s="27" t="inlineStr">
        <is>
          <t>Unit</t>
        </is>
      </c>
      <c r="C26" s="28" t="inlineStr">
        <is>
          <t>Healthy Pond</t>
        </is>
      </c>
      <c r="D26" s="29" t="inlineStr">
        <is>
          <t>Moderate Stress</t>
        </is>
      </c>
      <c r="E26" s="30" t="inlineStr">
        <is>
          <t>Eutrophic Pond</t>
        </is>
      </c>
    </row>
    <row r="27" ht="22" customHeight="1">
      <c r="A27" s="9" t="inlineStr">
        <is>
          <t>Dissolved Oxygen (DO)</t>
        </is>
      </c>
      <c r="B27" s="10" t="inlineStr">
        <is>
          <t>mg/L</t>
        </is>
      </c>
      <c r="C27" s="31" t="n">
        <v>9.199999999999999</v>
      </c>
      <c r="D27" s="32" t="n">
        <v>6.1</v>
      </c>
      <c r="E27" s="33" t="n">
        <v>3.2</v>
      </c>
    </row>
    <row r="28" ht="22" customHeight="1">
      <c r="A28" s="3" t="inlineStr">
        <is>
          <t>Phosphate (PO₄³⁻)</t>
        </is>
      </c>
      <c r="B28" s="4" t="inlineStr">
        <is>
          <t>mg/L</t>
        </is>
      </c>
      <c r="C28" s="31" t="n">
        <v>0.01</v>
      </c>
      <c r="D28" s="32" t="n">
        <v>0.06</v>
      </c>
      <c r="E28" s="33" t="n">
        <v>0.18</v>
      </c>
    </row>
    <row r="29" ht="22" customHeight="1">
      <c r="A29" s="9" t="inlineStr">
        <is>
          <t>Nitrate (NO₃⁻)</t>
        </is>
      </c>
      <c r="B29" s="10" t="inlineStr">
        <is>
          <t>mg/L</t>
        </is>
      </c>
      <c r="C29" s="31" t="n">
        <v>4</v>
      </c>
      <c r="D29" s="32" t="n">
        <v>14</v>
      </c>
      <c r="E29" s="33" t="n">
        <v>28</v>
      </c>
    </row>
    <row r="30" ht="22" customHeight="1">
      <c r="A30" s="3" t="inlineStr">
        <is>
          <t>Chlorophyll A</t>
        </is>
      </c>
      <c r="B30" s="4" t="inlineStr">
        <is>
          <t>µg/L</t>
        </is>
      </c>
      <c r="C30" s="31" t="n">
        <v>3</v>
      </c>
      <c r="D30" s="32" t="n">
        <v>18</v>
      </c>
      <c r="E30" s="33" t="n">
        <v>55</v>
      </c>
    </row>
    <row r="31" ht="22" customHeight="1">
      <c r="A31" s="9" t="inlineStr">
        <is>
          <t>Ammonia (NH₃)</t>
        </is>
      </c>
      <c r="B31" s="10" t="inlineStr">
        <is>
          <t>mg/L</t>
        </is>
      </c>
      <c r="C31" s="31" t="n">
        <v>0.1</v>
      </c>
      <c r="D31" s="32" t="n">
        <v>0.6</v>
      </c>
      <c r="E31" s="33" t="n">
        <v>1.4</v>
      </c>
    </row>
    <row r="32" ht="22" customHeight="1">
      <c r="A32" s="3" t="inlineStr">
        <is>
          <t>Total Nitrogen</t>
        </is>
      </c>
      <c r="B32" s="4" t="inlineStr">
        <is>
          <t>mg/L</t>
        </is>
      </c>
      <c r="C32" s="31" t="n">
        <v>0.3</v>
      </c>
      <c r="D32" s="32" t="n">
        <v>0.9</v>
      </c>
      <c r="E32" s="33" t="n">
        <v>2.2</v>
      </c>
    </row>
    <row r="33" ht="22" customHeight="1">
      <c r="A33" s="9" t="inlineStr">
        <is>
          <t>pH</t>
        </is>
      </c>
      <c r="B33" s="10" t="inlineStr">
        <is>
          <t>—</t>
        </is>
      </c>
      <c r="C33" s="31" t="n">
        <v>7.4</v>
      </c>
      <c r="D33" s="32" t="n">
        <v>8.5</v>
      </c>
      <c r="E33" s="33" t="n">
        <v>9.800000000000001</v>
      </c>
    </row>
    <row r="34" ht="22" customHeight="1">
      <c r="A34" s="3" t="inlineStr">
        <is>
          <t>Temperature</t>
        </is>
      </c>
      <c r="B34" s="4" t="inlineStr">
        <is>
          <t>°C</t>
        </is>
      </c>
      <c r="C34" s="31" t="n">
        <v>18</v>
      </c>
      <c r="D34" s="32" t="n">
        <v>27</v>
      </c>
      <c r="E34" s="33" t="n">
        <v>31</v>
      </c>
    </row>
    <row r="35" ht="22" customHeight="1">
      <c r="A35" s="9" t="inlineStr">
        <is>
          <t>EC</t>
        </is>
      </c>
      <c r="B35" s="10" t="inlineStr">
        <is>
          <t>µS/cm</t>
        </is>
      </c>
      <c r="C35" s="31" t="n">
        <v>120</v>
      </c>
      <c r="D35" s="32" t="n">
        <v>320</v>
      </c>
      <c r="E35" s="33" t="n">
        <v>620</v>
      </c>
    </row>
    <row r="36" ht="22" customHeight="1">
      <c r="A36" s="3" t="inlineStr">
        <is>
          <t>TDS</t>
        </is>
      </c>
      <c r="B36" s="4" t="inlineStr">
        <is>
          <t>mg/L</t>
        </is>
      </c>
      <c r="C36" s="31" t="n">
        <v>180</v>
      </c>
      <c r="D36" s="32" t="n">
        <v>420</v>
      </c>
      <c r="E36" s="33" t="n">
        <v>720</v>
      </c>
    </row>
    <row r="37" ht="22" customHeight="1">
      <c r="A37" s="9" t="inlineStr">
        <is>
          <t>Salinity (PSU)</t>
        </is>
      </c>
      <c r="B37" s="10" t="inlineStr">
        <is>
          <t>ppt</t>
        </is>
      </c>
      <c r="C37" s="31" t="n">
        <v>0.1</v>
      </c>
      <c r="D37" s="32" t="n">
        <v>0.6</v>
      </c>
      <c r="E37" s="33" t="n">
        <v>1.4</v>
      </c>
    </row>
    <row r="38" ht="22" customHeight="1">
      <c r="A38" s="3" t="inlineStr">
        <is>
          <t>ORP</t>
        </is>
      </c>
      <c r="B38" s="4" t="inlineStr">
        <is>
          <t>mV</t>
        </is>
      </c>
      <c r="C38" s="31" t="n">
        <v>220</v>
      </c>
      <c r="D38" s="32" t="n">
        <v>60</v>
      </c>
      <c r="E38" s="33" t="n">
        <v>-30</v>
      </c>
    </row>
    <row r="39" ht="26" customHeight="1">
      <c r="A39" s="34" t="inlineStr">
        <is>
          <t>Water Quality Score (WQS)</t>
        </is>
      </c>
      <c r="B39" s="18" t="inlineStr">
        <is>
          <t>0–100</t>
        </is>
      </c>
      <c r="C39" s="35" t="n">
        <v>96</v>
      </c>
      <c r="D39" s="36" t="n">
        <v>64</v>
      </c>
      <c r="E39" s="37" t="n">
        <v>26</v>
      </c>
    </row>
    <row r="40" ht="26" customHeight="1">
      <c r="A40" s="34" t="inlineStr">
        <is>
          <t>Classification</t>
        </is>
      </c>
      <c r="B40" s="18" t="inlineStr">
        <is>
          <t>—</t>
        </is>
      </c>
      <c r="C40" s="38" t="inlineStr">
        <is>
          <t>Excellent</t>
        </is>
      </c>
      <c r="D40" s="25" t="inlineStr">
        <is>
          <t>Good</t>
        </is>
      </c>
      <c r="E40" s="26" t="inlineStr">
        <is>
          <t>Poor</t>
        </is>
      </c>
    </row>
  </sheetData>
  <mergeCells count="8">
    <mergeCell ref="A16:E16"/>
    <mergeCell ref="A25:E25"/>
    <mergeCell ref="B21:E21"/>
    <mergeCell ref="A1:E1"/>
    <mergeCell ref="B19:E19"/>
    <mergeCell ref="B20:E20"/>
    <mergeCell ref="A18:E18"/>
    <mergeCell ref="B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2" customWidth="1" min="4" max="4"/>
    <col width="60" customWidth="1" min="5" max="5"/>
  </cols>
  <sheetData>
    <row r="1" ht="36" customHeight="1">
      <c r="A1" s="1" t="inlineStr">
        <is>
          <t>Eutrophication Risk Decision Table</t>
        </is>
      </c>
    </row>
    <row r="2" ht="32" customHeight="1">
      <c r="A2" s="39" t="inlineStr">
        <is>
          <t>Rules applied in priority order (High → Moderate → Low) using Phosphate (PO₄³⁻), Dissolved Oxygen (DO), and Nitrate (NO₃⁻) status.</t>
        </is>
      </c>
    </row>
    <row r="3" ht="28" customHeight="1">
      <c r="A3" s="2" t="inlineStr">
        <is>
          <t>Risk Level</t>
        </is>
      </c>
      <c r="B3" s="2" t="inlineStr">
        <is>
          <t>Phosphate Status</t>
        </is>
      </c>
      <c r="C3" s="2" t="inlineStr">
        <is>
          <t>DO Status</t>
        </is>
      </c>
      <c r="D3" s="2" t="inlineStr">
        <is>
          <t>Nitrate Status</t>
        </is>
      </c>
      <c r="E3" s="2" t="inlineStr">
        <is>
          <t>Interpretation</t>
        </is>
      </c>
    </row>
    <row r="4" ht="42" customHeight="1">
      <c r="A4" s="40" t="inlineStr">
        <is>
          <t>HIGH RISK</t>
        </is>
      </c>
      <c r="B4" s="41" t="inlineStr">
        <is>
          <t>Poor</t>
        </is>
      </c>
      <c r="C4" s="41" t="inlineStr">
        <is>
          <t>Moderate or Poor</t>
        </is>
      </c>
      <c r="D4" s="41" t="inlineStr">
        <is>
          <t>Any</t>
        </is>
      </c>
      <c r="E4" s="8" t="inlineStr">
        <is>
          <t>Critical — active eutrophication likely. Excess phosphate + low oxygen strongly indicate bloom conditions. Immediate management action recommended.</t>
        </is>
      </c>
    </row>
    <row r="5" ht="42" customHeight="1">
      <c r="A5" s="42" t="inlineStr">
        <is>
          <t>MODERATE RISK</t>
        </is>
      </c>
      <c r="B5" s="43" t="inlineStr">
        <is>
          <t>Moderate</t>
        </is>
      </c>
      <c r="C5" s="43" t="inlineStr">
        <is>
          <t>Any</t>
        </is>
      </c>
      <c r="D5" s="43" t="inlineStr">
        <is>
          <t>Any</t>
        </is>
      </c>
      <c r="E5" s="11" t="inlineStr">
        <is>
          <t>Elevated phosphate suggests growing nutrient pressure. Monitor regularly, reduce agricultural and urban runoff inputs.</t>
        </is>
      </c>
    </row>
    <row r="6" ht="42" customHeight="1">
      <c r="A6" s="42" t="inlineStr">
        <is>
          <t>MODERATE RISK</t>
        </is>
      </c>
      <c r="B6" s="43" t="inlineStr">
        <is>
          <t>Any</t>
        </is>
      </c>
      <c r="C6" s="43" t="inlineStr">
        <is>
          <t>Any</t>
        </is>
      </c>
      <c r="D6" s="43" t="inlineStr">
        <is>
          <t>Moderate or Poor</t>
        </is>
      </c>
      <c r="E6" s="8" t="inlineStr">
        <is>
          <t>Elevated nitrate indicates external nutrient loading. Risk of algal growth acceleration — review catchment sources.</t>
        </is>
      </c>
    </row>
    <row r="7" ht="42" customHeight="1">
      <c r="A7" s="44" t="inlineStr">
        <is>
          <t>LOW RISK</t>
        </is>
      </c>
      <c r="B7" s="45" t="inlineStr">
        <is>
          <t>Good</t>
        </is>
      </c>
      <c r="C7" s="45" t="inlineStr">
        <is>
          <t>Good</t>
        </is>
      </c>
      <c r="D7" s="45" t="inlineStr">
        <is>
          <t>Good</t>
        </is>
      </c>
      <c r="E7" s="11" t="inlineStr">
        <is>
          <t>Nutrient levels and dissolved oxygen within healthy ranges. Pond shows low eutrophication risk — maintain current land management practices.</t>
        </is>
      </c>
    </row>
    <row r="9" ht="52" customHeight="1">
      <c r="A9" s="46" t="inlineStr">
        <is>
          <t>Note: Risk rules are applied in priority order. HIGH is evaluated first; if not met, MODERATE is checked; otherwise LOW is assigned. Parameter status (Good/Moderate/Poor) is determined by the thresholds defined in the 'Parameter Thresholds' sheet.</t>
        </is>
      </c>
    </row>
  </sheetData>
  <mergeCells count="3">
    <mergeCell ref="A2:E2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2026-04-13T15:29:58Z</dcterms:created>
  <dcterms:modified xmlns:dcterms="http://purl.org/dc/terms/" xmlns:xsi="http://www.w3.org/2001/XMLSchema-instance" xsi:type="dcterms:W3CDTF">2026-04-13T15:29:58Z</dcterms:modified>
</cp:coreProperties>
</file>